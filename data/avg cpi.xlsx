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114e161ae791d6/Desktop/Work/Semeters (Masters)/Sem 4 - Fall 25/CSE 6242/Project/Exploratory Analysis/"/>
    </mc:Choice>
  </mc:AlternateContent>
  <xr:revisionPtr revIDLastSave="0" documentId="8_{539BF837-CA04-4E72-A8DD-778FB4ABDFC7}" xr6:coauthVersionLast="47" xr6:coauthVersionMax="47" xr10:uidLastSave="{00000000-0000-0000-0000-000000000000}"/>
  <bookViews>
    <workbookView xWindow="-108" yWindow="-108" windowWidth="23256" windowHeight="13176" xr2:uid="{2CC8308C-77E0-47B5-94D1-07714876B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K5" i="1"/>
  <c r="H3" i="1"/>
  <c r="H4" i="1"/>
  <c r="H5" i="1"/>
  <c r="H6" i="1"/>
  <c r="H7" i="1"/>
  <c r="H8" i="1"/>
  <c r="H9" i="1"/>
  <c r="H10" i="1"/>
  <c r="H19" i="1"/>
  <c r="H20" i="1"/>
  <c r="H21" i="1"/>
  <c r="H22" i="1"/>
  <c r="H23" i="1"/>
  <c r="H24" i="1"/>
  <c r="H25" i="1"/>
  <c r="H26" i="1"/>
  <c r="H35" i="1"/>
  <c r="H36" i="1"/>
  <c r="H37" i="1"/>
  <c r="H38" i="1"/>
  <c r="H39" i="1"/>
  <c r="H40" i="1"/>
  <c r="H41" i="1"/>
  <c r="H42" i="1"/>
  <c r="H51" i="1"/>
  <c r="H52" i="1"/>
  <c r="H53" i="1"/>
  <c r="H54" i="1"/>
  <c r="H55" i="1"/>
  <c r="H56" i="1"/>
  <c r="H57" i="1"/>
  <c r="H58" i="1"/>
  <c r="H67" i="1"/>
  <c r="H68" i="1"/>
  <c r="H69" i="1"/>
  <c r="H70" i="1"/>
  <c r="H71" i="1"/>
  <c r="H72" i="1"/>
  <c r="H73" i="1"/>
  <c r="H74" i="1"/>
  <c r="H83" i="1"/>
  <c r="H84" i="1"/>
  <c r="H85" i="1"/>
  <c r="H86" i="1"/>
  <c r="H87" i="1"/>
  <c r="H88" i="1"/>
  <c r="H89" i="1"/>
  <c r="H90" i="1"/>
  <c r="H99" i="1"/>
  <c r="H100" i="1"/>
  <c r="H101" i="1"/>
  <c r="H102" i="1"/>
  <c r="H103" i="1"/>
  <c r="H104" i="1"/>
  <c r="H105" i="1"/>
  <c r="H106" i="1"/>
  <c r="H115" i="1"/>
  <c r="H116" i="1"/>
  <c r="H117" i="1"/>
  <c r="H118" i="1"/>
  <c r="H119" i="1"/>
  <c r="H120" i="1"/>
  <c r="H121" i="1"/>
  <c r="H122" i="1"/>
  <c r="G3" i="1"/>
  <c r="G4" i="1"/>
  <c r="G5" i="1"/>
  <c r="G6" i="1"/>
  <c r="G7" i="1"/>
  <c r="G8" i="1"/>
  <c r="G9" i="1"/>
  <c r="G10" i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G20" i="1"/>
  <c r="G21" i="1"/>
  <c r="G22" i="1"/>
  <c r="G23" i="1"/>
  <c r="G24" i="1"/>
  <c r="G25" i="1"/>
  <c r="G26" i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G36" i="1"/>
  <c r="G37" i="1"/>
  <c r="G38" i="1"/>
  <c r="G39" i="1"/>
  <c r="G40" i="1"/>
  <c r="G41" i="1"/>
  <c r="G42" i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G52" i="1"/>
  <c r="G53" i="1"/>
  <c r="G54" i="1"/>
  <c r="G55" i="1"/>
  <c r="G56" i="1"/>
  <c r="G57" i="1"/>
  <c r="G58" i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G68" i="1"/>
  <c r="G69" i="1"/>
  <c r="G70" i="1"/>
  <c r="G71" i="1"/>
  <c r="G72" i="1"/>
  <c r="G73" i="1"/>
  <c r="G74" i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G84" i="1"/>
  <c r="G85" i="1"/>
  <c r="G86" i="1"/>
  <c r="G87" i="1"/>
  <c r="G88" i="1"/>
  <c r="G89" i="1"/>
  <c r="G90" i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G100" i="1"/>
  <c r="G101" i="1"/>
  <c r="G102" i="1"/>
  <c r="G103" i="1"/>
  <c r="G104" i="1"/>
  <c r="G105" i="1"/>
  <c r="G106" i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G116" i="1"/>
  <c r="G117" i="1"/>
  <c r="G118" i="1"/>
  <c r="G119" i="1"/>
  <c r="G120" i="1"/>
  <c r="G121" i="1"/>
  <c r="G122" i="1"/>
  <c r="M2" i="1"/>
  <c r="L2" i="1"/>
  <c r="K2" i="1"/>
  <c r="K3" i="1" s="1"/>
  <c r="G2" i="1"/>
  <c r="H2" i="1" s="1"/>
  <c r="Q2" i="1" l="1"/>
  <c r="P2" i="1"/>
</calcChain>
</file>

<file path=xl/sharedStrings.xml><?xml version="1.0" encoding="utf-8"?>
<sst xmlns="http://schemas.openxmlformats.org/spreadsheetml/2006/main" count="11" uniqueCount="9">
  <si>
    <t>observation_date</t>
  </si>
  <si>
    <t>CPIUFDSL</t>
  </si>
  <si>
    <t>CPIAPPSL</t>
  </si>
  <si>
    <t>CUSR0000SAD</t>
  </si>
  <si>
    <t>Food</t>
  </si>
  <si>
    <t>Clothing</t>
  </si>
  <si>
    <t>Electronics</t>
  </si>
  <si>
    <t>Average</t>
  </si>
  <si>
    <t>Overall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</si>
</sst>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9B1C-C2C8-426B-8303-47385FF52E9D}">
  <dimension ref="A1:Q122"/>
  <sheetViews>
    <sheetView tabSelected="1" workbookViewId="0">
      <selection activeCell="O9" sqref="O9"/>
    </sheetView>
  </sheetViews>
  <sheetFormatPr defaultRowHeight="14.4" x14ac:dyDescent="0.3"/>
  <cols>
    <col min="10" max="10" width="9.6640625" bestFit="1" customWidth="1"/>
  </cols>
  <sheetData>
    <row r="1" spans="1:17" x14ac:dyDescent="0.3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K1" t="s">
        <v>4</v>
      </c>
      <c r="L1" t="s">
        <v>5</v>
      </c>
      <c r="M1" t="s">
        <v>6</v>
      </c>
    </row>
    <row r="2" spans="1:17" x14ac:dyDescent="0.3">
      <c r="A2" s="1">
        <v>42217</v>
      </c>
      <c r="B2">
        <v>247.74199999999999</v>
      </c>
      <c r="C2" s="1">
        <v>42217</v>
      </c>
      <c r="D2">
        <v>126.166</v>
      </c>
      <c r="E2" s="1">
        <v>42217</v>
      </c>
      <c r="F2">
        <v>109.057</v>
      </c>
      <c r="G2">
        <f>+B2+D2+F2</f>
        <v>482.96500000000003</v>
      </c>
      <c r="H2">
        <f>+G2/3</f>
        <v>160.98833333333334</v>
      </c>
      <c r="J2" t="s">
        <v>7</v>
      </c>
      <c r="K2">
        <f>AVERAGE(B2:B122)</f>
        <v>281.89025619834706</v>
      </c>
      <c r="L2">
        <f>AVERAGE(D2:D122)</f>
        <v>125.91167768595045</v>
      </c>
      <c r="M2">
        <f>AVERAGE(F2:F122)</f>
        <v>113.96170247933881</v>
      </c>
      <c r="P2">
        <f>AVERAGE(G2:G122)</f>
        <v>521.76363636363635</v>
      </c>
      <c r="Q2">
        <f>AVERAGE(H2:H122)</f>
        <v>173.92121212121214</v>
      </c>
    </row>
    <row r="3" spans="1:17" x14ac:dyDescent="0.3">
      <c r="A3" s="1">
        <v>42248</v>
      </c>
      <c r="B3">
        <v>248.49199999999999</v>
      </c>
      <c r="C3" s="1">
        <v>42248</v>
      </c>
      <c r="D3">
        <v>126.011</v>
      </c>
      <c r="E3" s="1">
        <v>42248</v>
      </c>
      <c r="F3">
        <v>109.148</v>
      </c>
      <c r="G3">
        <f t="shared" ref="G3:G66" si="0">+B3+D3+F3</f>
        <v>483.65099999999995</v>
      </c>
      <c r="H3">
        <f t="shared" ref="H3:H66" si="1">+G3/3</f>
        <v>161.21699999999998</v>
      </c>
      <c r="J3" t="s">
        <v>8</v>
      </c>
      <c r="K3">
        <f>AVERAGE(K2:M2)</f>
        <v>173.92121212121211</v>
      </c>
    </row>
    <row r="4" spans="1:17" x14ac:dyDescent="0.3">
      <c r="A4" s="1">
        <v>42278</v>
      </c>
      <c r="B4">
        <v>248.755</v>
      </c>
      <c r="C4" s="1">
        <v>42278</v>
      </c>
      <c r="D4">
        <v>125.32299999999999</v>
      </c>
      <c r="E4" s="1">
        <v>42278</v>
      </c>
      <c r="F4">
        <v>108.995</v>
      </c>
      <c r="G4">
        <f t="shared" si="0"/>
        <v>483.07299999999998</v>
      </c>
      <c r="H4">
        <f t="shared" si="1"/>
        <v>161.02433333333332</v>
      </c>
    </row>
    <row r="5" spans="1:17" x14ac:dyDescent="0.3">
      <c r="A5" s="1">
        <v>42309</v>
      </c>
      <c r="B5">
        <v>248.52500000000001</v>
      </c>
      <c r="C5" s="1">
        <v>42309</v>
      </c>
      <c r="D5">
        <v>125.724</v>
      </c>
      <c r="E5" s="1">
        <v>42309</v>
      </c>
      <c r="F5">
        <v>108.765</v>
      </c>
      <c r="G5">
        <f t="shared" si="0"/>
        <v>483.01400000000001</v>
      </c>
      <c r="H5">
        <f t="shared" si="1"/>
        <v>161.00466666666668</v>
      </c>
      <c r="K5">
        <f>SUM(B2:B122)+SUM(D2:D122)+SUM(F2:F122)</f>
        <v>63133.399999999994</v>
      </c>
      <c r="L5">
        <f>+K5/(121*3)</f>
        <v>173.92121212121211</v>
      </c>
    </row>
    <row r="6" spans="1:17" x14ac:dyDescent="0.3">
      <c r="A6" s="1">
        <v>42339</v>
      </c>
      <c r="B6">
        <v>248.20599999999999</v>
      </c>
      <c r="C6" s="1">
        <v>42339</v>
      </c>
      <c r="D6">
        <v>126.042</v>
      </c>
      <c r="E6" s="1">
        <v>42339</v>
      </c>
      <c r="F6">
        <v>108.539</v>
      </c>
      <c r="G6">
        <f t="shared" si="0"/>
        <v>482.78699999999998</v>
      </c>
      <c r="H6">
        <f t="shared" si="1"/>
        <v>160.929</v>
      </c>
    </row>
    <row r="7" spans="1:17" x14ac:dyDescent="0.3">
      <c r="A7" s="1">
        <v>42370</v>
      </c>
      <c r="B7">
        <v>248.35300000000001</v>
      </c>
      <c r="C7" s="1">
        <v>42370</v>
      </c>
      <c r="D7">
        <v>124.999</v>
      </c>
      <c r="E7" s="1">
        <v>42370</v>
      </c>
      <c r="F7">
        <v>108.232</v>
      </c>
      <c r="G7">
        <f t="shared" si="0"/>
        <v>481.58399999999995</v>
      </c>
      <c r="H7">
        <f t="shared" si="1"/>
        <v>160.52799999999999</v>
      </c>
    </row>
    <row r="8" spans="1:17" x14ac:dyDescent="0.3">
      <c r="A8" s="1">
        <v>42401</v>
      </c>
      <c r="B8">
        <v>248.60599999999999</v>
      </c>
      <c r="C8" s="1">
        <v>42401</v>
      </c>
      <c r="D8">
        <v>125.898</v>
      </c>
      <c r="E8" s="1">
        <v>42401</v>
      </c>
      <c r="F8">
        <v>108.26</v>
      </c>
      <c r="G8">
        <f t="shared" si="0"/>
        <v>482.76400000000001</v>
      </c>
      <c r="H8">
        <f t="shared" si="1"/>
        <v>160.92133333333334</v>
      </c>
    </row>
    <row r="9" spans="1:17" x14ac:dyDescent="0.3">
      <c r="A9" s="1">
        <v>42430</v>
      </c>
      <c r="B9">
        <v>248.029</v>
      </c>
      <c r="C9" s="1">
        <v>42430</v>
      </c>
      <c r="D9">
        <v>125.843</v>
      </c>
      <c r="E9" s="1">
        <v>42430</v>
      </c>
      <c r="F9">
        <v>108.137</v>
      </c>
      <c r="G9">
        <f t="shared" si="0"/>
        <v>482.00900000000001</v>
      </c>
      <c r="H9">
        <f t="shared" si="1"/>
        <v>160.66966666666667</v>
      </c>
    </row>
    <row r="10" spans="1:17" x14ac:dyDescent="0.3">
      <c r="A10" s="1">
        <v>42461</v>
      </c>
      <c r="B10">
        <v>248.23500000000001</v>
      </c>
      <c r="C10" s="1">
        <v>42461</v>
      </c>
      <c r="D10">
        <v>125.782</v>
      </c>
      <c r="E10" s="1">
        <v>42461</v>
      </c>
      <c r="F10">
        <v>107.93899999999999</v>
      </c>
      <c r="G10">
        <f t="shared" si="0"/>
        <v>481.95600000000002</v>
      </c>
      <c r="H10">
        <f t="shared" si="1"/>
        <v>160.65200000000002</v>
      </c>
    </row>
    <row r="11" spans="1:17" x14ac:dyDescent="0.3">
      <c r="A11" s="1">
        <v>42491</v>
      </c>
      <c r="B11">
        <v>247.85599999999999</v>
      </c>
      <c r="C11" s="1">
        <v>42491</v>
      </c>
      <c r="D11">
        <v>126.70699999999999</v>
      </c>
      <c r="E11" s="1">
        <v>42491</v>
      </c>
      <c r="F11">
        <v>107.693</v>
      </c>
      <c r="G11">
        <f t="shared" si="0"/>
        <v>482.25599999999997</v>
      </c>
      <c r="H11">
        <f t="shared" si="1"/>
        <v>160.75199999999998</v>
      </c>
    </row>
    <row r="12" spans="1:17" x14ac:dyDescent="0.3">
      <c r="A12" s="1">
        <v>42522</v>
      </c>
      <c r="B12">
        <v>247.68299999999999</v>
      </c>
      <c r="C12" s="1">
        <v>42522</v>
      </c>
      <c r="D12">
        <v>126.276</v>
      </c>
      <c r="E12" s="1">
        <v>42522</v>
      </c>
      <c r="F12">
        <v>107.29</v>
      </c>
      <c r="G12">
        <f t="shared" si="0"/>
        <v>481.24900000000002</v>
      </c>
      <c r="H12">
        <f t="shared" si="1"/>
        <v>160.41633333333334</v>
      </c>
    </row>
    <row r="13" spans="1:17" x14ac:dyDescent="0.3">
      <c r="A13" s="1">
        <v>42552</v>
      </c>
      <c r="B13">
        <v>247.65799999999999</v>
      </c>
      <c r="C13" s="1">
        <v>42552</v>
      </c>
      <c r="D13">
        <v>125.881</v>
      </c>
      <c r="E13" s="1">
        <v>42552</v>
      </c>
      <c r="F13">
        <v>107.099</v>
      </c>
      <c r="G13">
        <f t="shared" si="0"/>
        <v>480.63799999999998</v>
      </c>
      <c r="H13">
        <f t="shared" si="1"/>
        <v>160.21266666666665</v>
      </c>
    </row>
    <row r="14" spans="1:17" x14ac:dyDescent="0.3">
      <c r="A14" s="1">
        <v>42583</v>
      </c>
      <c r="B14">
        <v>247.74600000000001</v>
      </c>
      <c r="C14" s="1">
        <v>42583</v>
      </c>
      <c r="D14">
        <v>126.148</v>
      </c>
      <c r="E14" s="1">
        <v>42583</v>
      </c>
      <c r="F14">
        <v>106.91500000000001</v>
      </c>
      <c r="G14">
        <f t="shared" si="0"/>
        <v>480.80900000000003</v>
      </c>
      <c r="H14">
        <f t="shared" si="1"/>
        <v>160.26966666666667</v>
      </c>
    </row>
    <row r="15" spans="1:17" x14ac:dyDescent="0.3">
      <c r="A15" s="1">
        <v>42614</v>
      </c>
      <c r="B15">
        <v>247.77199999999999</v>
      </c>
      <c r="C15" s="1">
        <v>42614</v>
      </c>
      <c r="D15">
        <v>125.914</v>
      </c>
      <c r="E15" s="1">
        <v>42614</v>
      </c>
      <c r="F15">
        <v>106.752</v>
      </c>
      <c r="G15">
        <f t="shared" si="0"/>
        <v>480.43799999999999</v>
      </c>
      <c r="H15">
        <f t="shared" si="1"/>
        <v>160.14599999999999</v>
      </c>
    </row>
    <row r="16" spans="1:17" x14ac:dyDescent="0.3">
      <c r="A16" s="1">
        <v>42644</v>
      </c>
      <c r="B16">
        <v>247.81200000000001</v>
      </c>
      <c r="C16" s="1">
        <v>42644</v>
      </c>
      <c r="D16">
        <v>126.521</v>
      </c>
      <c r="E16" s="1">
        <v>42644</v>
      </c>
      <c r="F16">
        <v>106.578</v>
      </c>
      <c r="G16">
        <f t="shared" si="0"/>
        <v>480.91100000000006</v>
      </c>
      <c r="H16">
        <f t="shared" si="1"/>
        <v>160.30366666666669</v>
      </c>
    </row>
    <row r="17" spans="1:8" x14ac:dyDescent="0.3">
      <c r="A17" s="1">
        <v>42675</v>
      </c>
      <c r="B17">
        <v>247.74100000000001</v>
      </c>
      <c r="C17" s="1">
        <v>42675</v>
      </c>
      <c r="D17">
        <v>126.605</v>
      </c>
      <c r="E17" s="1">
        <v>42675</v>
      </c>
      <c r="F17">
        <v>106.337</v>
      </c>
      <c r="G17">
        <f t="shared" si="0"/>
        <v>480.68299999999999</v>
      </c>
      <c r="H17">
        <f t="shared" si="1"/>
        <v>160.22766666666666</v>
      </c>
    </row>
    <row r="18" spans="1:8" x14ac:dyDescent="0.3">
      <c r="A18" s="1">
        <v>42705</v>
      </c>
      <c r="B18">
        <v>247.72499999999999</v>
      </c>
      <c r="C18" s="1">
        <v>42705</v>
      </c>
      <c r="D18">
        <v>126.185</v>
      </c>
      <c r="E18" s="1">
        <v>42705</v>
      </c>
      <c r="F18">
        <v>106.20699999999999</v>
      </c>
      <c r="G18">
        <f t="shared" si="0"/>
        <v>480.11699999999996</v>
      </c>
      <c r="H18">
        <f t="shared" si="1"/>
        <v>160.03899999999999</v>
      </c>
    </row>
    <row r="19" spans="1:8" x14ac:dyDescent="0.3">
      <c r="A19" s="1">
        <v>42736</v>
      </c>
      <c r="B19">
        <v>248.065</v>
      </c>
      <c r="C19" s="1">
        <v>42736</v>
      </c>
      <c r="D19">
        <v>126.044</v>
      </c>
      <c r="E19" s="1">
        <v>42736</v>
      </c>
      <c r="F19">
        <v>106.536</v>
      </c>
      <c r="G19">
        <f t="shared" si="0"/>
        <v>480.64499999999998</v>
      </c>
      <c r="H19">
        <f t="shared" si="1"/>
        <v>160.215</v>
      </c>
    </row>
    <row r="20" spans="1:8" x14ac:dyDescent="0.3">
      <c r="A20" s="1">
        <v>42767</v>
      </c>
      <c r="B20">
        <v>248.73500000000001</v>
      </c>
      <c r="C20" s="1">
        <v>42767</v>
      </c>
      <c r="D20">
        <v>126.05800000000001</v>
      </c>
      <c r="E20" s="1">
        <v>42767</v>
      </c>
      <c r="F20">
        <v>106.45</v>
      </c>
      <c r="G20">
        <f t="shared" si="0"/>
        <v>481.24299999999999</v>
      </c>
      <c r="H20">
        <f t="shared" si="1"/>
        <v>160.41433333333333</v>
      </c>
    </row>
    <row r="21" spans="1:8" x14ac:dyDescent="0.3">
      <c r="A21" s="1">
        <v>42795</v>
      </c>
      <c r="B21">
        <v>249.244</v>
      </c>
      <c r="C21" s="1">
        <v>42795</v>
      </c>
      <c r="D21">
        <v>126.39700000000001</v>
      </c>
      <c r="E21" s="1">
        <v>42795</v>
      </c>
      <c r="F21">
        <v>106.07299999999999</v>
      </c>
      <c r="G21">
        <f t="shared" si="0"/>
        <v>481.714</v>
      </c>
      <c r="H21">
        <f t="shared" si="1"/>
        <v>160.57133333333334</v>
      </c>
    </row>
    <row r="22" spans="1:8" x14ac:dyDescent="0.3">
      <c r="A22" s="1">
        <v>42826</v>
      </c>
      <c r="B22">
        <v>249.589</v>
      </c>
      <c r="C22" s="1">
        <v>42826</v>
      </c>
      <c r="D22">
        <v>126.301</v>
      </c>
      <c r="E22" s="1">
        <v>42826</v>
      </c>
      <c r="F22">
        <v>105.91</v>
      </c>
      <c r="G22">
        <f t="shared" si="0"/>
        <v>481.79999999999995</v>
      </c>
      <c r="H22">
        <f t="shared" si="1"/>
        <v>160.6</v>
      </c>
    </row>
    <row r="23" spans="1:8" x14ac:dyDescent="0.3">
      <c r="A23" s="1">
        <v>42856</v>
      </c>
      <c r="B23">
        <v>249.97200000000001</v>
      </c>
      <c r="C23" s="1">
        <v>42856</v>
      </c>
      <c r="D23">
        <v>125.651</v>
      </c>
      <c r="E23" s="1">
        <v>42856</v>
      </c>
      <c r="F23">
        <v>105.69199999999999</v>
      </c>
      <c r="G23">
        <f t="shared" si="0"/>
        <v>481.315</v>
      </c>
      <c r="H23">
        <f t="shared" si="1"/>
        <v>160.43833333333333</v>
      </c>
    </row>
    <row r="24" spans="1:8" x14ac:dyDescent="0.3">
      <c r="A24" s="1">
        <v>42887</v>
      </c>
      <c r="B24">
        <v>249.77</v>
      </c>
      <c r="C24" s="1">
        <v>42887</v>
      </c>
      <c r="D24">
        <v>125.508</v>
      </c>
      <c r="E24" s="1">
        <v>42887</v>
      </c>
      <c r="F24">
        <v>105.27500000000001</v>
      </c>
      <c r="G24">
        <f t="shared" si="0"/>
        <v>480.553</v>
      </c>
      <c r="H24">
        <f t="shared" si="1"/>
        <v>160.18433333333334</v>
      </c>
    </row>
    <row r="25" spans="1:8" x14ac:dyDescent="0.3">
      <c r="A25" s="1">
        <v>42917</v>
      </c>
      <c r="B25">
        <v>250.185</v>
      </c>
      <c r="C25" s="1">
        <v>42917</v>
      </c>
      <c r="D25">
        <v>125.36799999999999</v>
      </c>
      <c r="E25" s="1">
        <v>42917</v>
      </c>
      <c r="F25">
        <v>104.749</v>
      </c>
      <c r="G25">
        <f t="shared" si="0"/>
        <v>480.30200000000002</v>
      </c>
      <c r="H25">
        <f t="shared" si="1"/>
        <v>160.10066666666668</v>
      </c>
    </row>
    <row r="26" spans="1:8" x14ac:dyDescent="0.3">
      <c r="A26" s="1">
        <v>42948</v>
      </c>
      <c r="B26">
        <v>250.46899999999999</v>
      </c>
      <c r="C26" s="1">
        <v>42948</v>
      </c>
      <c r="D26">
        <v>125.39</v>
      </c>
      <c r="E26" s="1">
        <v>42948</v>
      </c>
      <c r="F26">
        <v>104.56100000000001</v>
      </c>
      <c r="G26">
        <f t="shared" si="0"/>
        <v>480.41999999999996</v>
      </c>
      <c r="H26">
        <f t="shared" si="1"/>
        <v>160.13999999999999</v>
      </c>
    </row>
    <row r="27" spans="1:8" x14ac:dyDescent="0.3">
      <c r="A27" s="1">
        <v>42979</v>
      </c>
      <c r="B27">
        <v>250.82599999999999</v>
      </c>
      <c r="C27" s="1">
        <v>42979</v>
      </c>
      <c r="D27">
        <v>125.759</v>
      </c>
      <c r="E27" s="1">
        <v>42979</v>
      </c>
      <c r="F27">
        <v>104.557</v>
      </c>
      <c r="G27">
        <f t="shared" si="0"/>
        <v>481.142</v>
      </c>
      <c r="H27">
        <f t="shared" si="1"/>
        <v>160.38066666666666</v>
      </c>
    </row>
    <row r="28" spans="1:8" x14ac:dyDescent="0.3">
      <c r="A28" s="1">
        <v>43009</v>
      </c>
      <c r="B28">
        <v>251.048</v>
      </c>
      <c r="C28" s="1">
        <v>43009</v>
      </c>
      <c r="D28">
        <v>125.961</v>
      </c>
      <c r="E28" s="1">
        <v>43009</v>
      </c>
      <c r="F28">
        <v>104.27800000000001</v>
      </c>
      <c r="G28">
        <f t="shared" si="0"/>
        <v>481.28700000000003</v>
      </c>
      <c r="H28">
        <f t="shared" si="1"/>
        <v>160.429</v>
      </c>
    </row>
    <row r="29" spans="1:8" x14ac:dyDescent="0.3">
      <c r="A29" s="1">
        <v>43040</v>
      </c>
      <c r="B29">
        <v>251.19499999999999</v>
      </c>
      <c r="C29" s="1">
        <v>43040</v>
      </c>
      <c r="D29">
        <v>125.024</v>
      </c>
      <c r="E29" s="1">
        <v>43040</v>
      </c>
      <c r="F29">
        <v>104.423</v>
      </c>
      <c r="G29">
        <f t="shared" si="0"/>
        <v>480.642</v>
      </c>
      <c r="H29">
        <f t="shared" si="1"/>
        <v>160.214</v>
      </c>
    </row>
    <row r="30" spans="1:8" x14ac:dyDescent="0.3">
      <c r="A30" s="1">
        <v>43070</v>
      </c>
      <c r="B30">
        <v>251.71600000000001</v>
      </c>
      <c r="C30" s="1">
        <v>43070</v>
      </c>
      <c r="D30">
        <v>124.23399999999999</v>
      </c>
      <c r="E30" s="1">
        <v>43070</v>
      </c>
      <c r="F30">
        <v>104.798</v>
      </c>
      <c r="G30">
        <f t="shared" si="0"/>
        <v>480.74799999999999</v>
      </c>
      <c r="H30">
        <f t="shared" si="1"/>
        <v>160.24933333333334</v>
      </c>
    </row>
    <row r="31" spans="1:8" x14ac:dyDescent="0.3">
      <c r="A31" s="1">
        <v>43101</v>
      </c>
      <c r="B31">
        <v>252.37700000000001</v>
      </c>
      <c r="C31" s="1">
        <v>43101</v>
      </c>
      <c r="D31">
        <v>124.855</v>
      </c>
      <c r="E31" s="1">
        <v>43101</v>
      </c>
      <c r="F31">
        <v>104.71</v>
      </c>
      <c r="G31">
        <f t="shared" si="0"/>
        <v>481.94200000000001</v>
      </c>
      <c r="H31">
        <f t="shared" si="1"/>
        <v>160.64733333333334</v>
      </c>
    </row>
    <row r="32" spans="1:8" x14ac:dyDescent="0.3">
      <c r="A32" s="1">
        <v>43132</v>
      </c>
      <c r="B32">
        <v>252.26400000000001</v>
      </c>
      <c r="C32" s="1">
        <v>43132</v>
      </c>
      <c r="D32">
        <v>125.839</v>
      </c>
      <c r="E32" s="1">
        <v>43132</v>
      </c>
      <c r="F32">
        <v>104.694</v>
      </c>
      <c r="G32">
        <f t="shared" si="0"/>
        <v>482.79700000000003</v>
      </c>
      <c r="H32">
        <f t="shared" si="1"/>
        <v>160.93233333333333</v>
      </c>
    </row>
    <row r="33" spans="1:8" x14ac:dyDescent="0.3">
      <c r="A33" s="1">
        <v>43160</v>
      </c>
      <c r="B33">
        <v>252.36500000000001</v>
      </c>
      <c r="C33" s="1">
        <v>43160</v>
      </c>
      <c r="D33">
        <v>126.489</v>
      </c>
      <c r="E33" s="1">
        <v>43160</v>
      </c>
      <c r="F33">
        <v>104.95699999999999</v>
      </c>
      <c r="G33">
        <f t="shared" si="0"/>
        <v>483.81100000000004</v>
      </c>
      <c r="H33">
        <f t="shared" si="1"/>
        <v>161.27033333333335</v>
      </c>
    </row>
    <row r="34" spans="1:8" x14ac:dyDescent="0.3">
      <c r="A34" s="1">
        <v>43191</v>
      </c>
      <c r="B34">
        <v>252.86699999999999</v>
      </c>
      <c r="C34" s="1">
        <v>43191</v>
      </c>
      <c r="D34">
        <v>127.32599999999999</v>
      </c>
      <c r="E34" s="1">
        <v>43191</v>
      </c>
      <c r="F34">
        <v>104.611</v>
      </c>
      <c r="G34">
        <f t="shared" si="0"/>
        <v>484.80399999999997</v>
      </c>
      <c r="H34">
        <f t="shared" si="1"/>
        <v>161.60133333333332</v>
      </c>
    </row>
    <row r="35" spans="1:8" x14ac:dyDescent="0.3">
      <c r="A35" s="1">
        <v>43221</v>
      </c>
      <c r="B35">
        <v>252.864</v>
      </c>
      <c r="C35" s="1">
        <v>43221</v>
      </c>
      <c r="D35">
        <v>127.464</v>
      </c>
      <c r="E35" s="1">
        <v>43221</v>
      </c>
      <c r="F35">
        <v>104.197</v>
      </c>
      <c r="G35">
        <f t="shared" si="0"/>
        <v>484.52499999999998</v>
      </c>
      <c r="H35">
        <f t="shared" si="1"/>
        <v>161.50833333333333</v>
      </c>
    </row>
    <row r="36" spans="1:8" x14ac:dyDescent="0.3">
      <c r="A36" s="1">
        <v>43252</v>
      </c>
      <c r="B36">
        <v>253.167</v>
      </c>
      <c r="C36" s="1">
        <v>43252</v>
      </c>
      <c r="D36">
        <v>126.384</v>
      </c>
      <c r="E36" s="1">
        <v>43252</v>
      </c>
      <c r="F36">
        <v>104.002</v>
      </c>
      <c r="G36">
        <f t="shared" si="0"/>
        <v>483.553</v>
      </c>
      <c r="H36">
        <f t="shared" si="1"/>
        <v>161.18433333333334</v>
      </c>
    </row>
    <row r="37" spans="1:8" x14ac:dyDescent="0.3">
      <c r="A37" s="1">
        <v>43282</v>
      </c>
      <c r="B37">
        <v>253.59800000000001</v>
      </c>
      <c r="C37" s="1">
        <v>43282</v>
      </c>
      <c r="D37">
        <v>125.676</v>
      </c>
      <c r="E37" s="1">
        <v>43282</v>
      </c>
      <c r="F37">
        <v>104.29600000000001</v>
      </c>
      <c r="G37">
        <f t="shared" si="0"/>
        <v>483.57</v>
      </c>
      <c r="H37">
        <f t="shared" si="1"/>
        <v>161.19</v>
      </c>
    </row>
    <row r="38" spans="1:8" x14ac:dyDescent="0.3">
      <c r="A38" s="1">
        <v>43313</v>
      </c>
      <c r="B38">
        <v>253.94900000000001</v>
      </c>
      <c r="C38" s="1">
        <v>43313</v>
      </c>
      <c r="D38">
        <v>123.45099999999999</v>
      </c>
      <c r="E38" s="1">
        <v>43313</v>
      </c>
      <c r="F38">
        <v>104.203</v>
      </c>
      <c r="G38">
        <f t="shared" si="0"/>
        <v>481.60299999999995</v>
      </c>
      <c r="H38">
        <f t="shared" si="1"/>
        <v>160.53433333333331</v>
      </c>
    </row>
    <row r="39" spans="1:8" x14ac:dyDescent="0.3">
      <c r="A39" s="1">
        <v>43344</v>
      </c>
      <c r="B39">
        <v>254.30199999999999</v>
      </c>
      <c r="C39" s="1">
        <v>43344</v>
      </c>
      <c r="D39">
        <v>125.143</v>
      </c>
      <c r="E39" s="1">
        <v>43344</v>
      </c>
      <c r="F39">
        <v>103.864</v>
      </c>
      <c r="G39">
        <f t="shared" si="0"/>
        <v>483.30899999999997</v>
      </c>
      <c r="H39">
        <f t="shared" si="1"/>
        <v>161.10299999999998</v>
      </c>
    </row>
    <row r="40" spans="1:8" x14ac:dyDescent="0.3">
      <c r="A40" s="1">
        <v>43374</v>
      </c>
      <c r="B40">
        <v>254.17</v>
      </c>
      <c r="C40" s="1">
        <v>43374</v>
      </c>
      <c r="D40">
        <v>126.021</v>
      </c>
      <c r="E40" s="1">
        <v>43374</v>
      </c>
      <c r="F40">
        <v>104.157</v>
      </c>
      <c r="G40">
        <f t="shared" si="0"/>
        <v>484.34799999999996</v>
      </c>
      <c r="H40">
        <f t="shared" si="1"/>
        <v>161.44933333333333</v>
      </c>
    </row>
    <row r="41" spans="1:8" x14ac:dyDescent="0.3">
      <c r="A41" s="1">
        <v>43405</v>
      </c>
      <c r="B41">
        <v>254.887</v>
      </c>
      <c r="C41" s="1">
        <v>43405</v>
      </c>
      <c r="D41">
        <v>125.099</v>
      </c>
      <c r="E41" s="1">
        <v>43405</v>
      </c>
      <c r="F41">
        <v>104.55</v>
      </c>
      <c r="G41">
        <f t="shared" si="0"/>
        <v>484.536</v>
      </c>
      <c r="H41">
        <f t="shared" si="1"/>
        <v>161.512</v>
      </c>
    </row>
    <row r="42" spans="1:8" x14ac:dyDescent="0.3">
      <c r="A42" s="1">
        <v>43435</v>
      </c>
      <c r="B42">
        <v>255.87700000000001</v>
      </c>
      <c r="C42" s="1">
        <v>43435</v>
      </c>
      <c r="D42">
        <v>124.35599999999999</v>
      </c>
      <c r="E42" s="1">
        <v>43435</v>
      </c>
      <c r="F42">
        <v>104.717</v>
      </c>
      <c r="G42">
        <f t="shared" si="0"/>
        <v>484.95</v>
      </c>
      <c r="H42">
        <f t="shared" si="1"/>
        <v>161.65</v>
      </c>
    </row>
    <row r="43" spans="1:8" x14ac:dyDescent="0.3">
      <c r="A43" s="1">
        <v>43466</v>
      </c>
      <c r="B43">
        <v>256.53300000000002</v>
      </c>
      <c r="C43" s="1">
        <v>43466</v>
      </c>
      <c r="D43">
        <v>124.46599999999999</v>
      </c>
      <c r="E43" s="1">
        <v>43466</v>
      </c>
      <c r="F43">
        <v>105.191</v>
      </c>
      <c r="G43">
        <f t="shared" si="0"/>
        <v>486.19000000000005</v>
      </c>
      <c r="H43">
        <f t="shared" si="1"/>
        <v>162.06333333333336</v>
      </c>
    </row>
    <row r="44" spans="1:8" x14ac:dyDescent="0.3">
      <c r="A44" s="1">
        <v>43497</v>
      </c>
      <c r="B44">
        <v>257.25299999999999</v>
      </c>
      <c r="C44" s="1">
        <v>43497</v>
      </c>
      <c r="D44">
        <v>124.526</v>
      </c>
      <c r="E44" s="1">
        <v>43497</v>
      </c>
      <c r="F44">
        <v>105.247</v>
      </c>
      <c r="G44">
        <f t="shared" si="0"/>
        <v>487.02600000000001</v>
      </c>
      <c r="H44">
        <f t="shared" si="1"/>
        <v>162.34200000000001</v>
      </c>
    </row>
    <row r="45" spans="1:8" x14ac:dyDescent="0.3">
      <c r="A45" s="1">
        <v>43525</v>
      </c>
      <c r="B45">
        <v>257.68099999999998</v>
      </c>
      <c r="C45" s="1">
        <v>43525</v>
      </c>
      <c r="D45">
        <v>123.666</v>
      </c>
      <c r="E45" s="1">
        <v>43525</v>
      </c>
      <c r="F45">
        <v>105.462</v>
      </c>
      <c r="G45">
        <f t="shared" si="0"/>
        <v>486.80899999999997</v>
      </c>
      <c r="H45">
        <f t="shared" si="1"/>
        <v>162.26966666666667</v>
      </c>
    </row>
    <row r="46" spans="1:8" x14ac:dyDescent="0.3">
      <c r="A46" s="1">
        <v>43556</v>
      </c>
      <c r="B46">
        <v>257.32499999999999</v>
      </c>
      <c r="C46" s="1">
        <v>43556</v>
      </c>
      <c r="D46">
        <v>123.901</v>
      </c>
      <c r="E46" s="1">
        <v>43556</v>
      </c>
      <c r="F46">
        <v>104.98</v>
      </c>
      <c r="G46">
        <f t="shared" si="0"/>
        <v>486.20600000000002</v>
      </c>
      <c r="H46">
        <f t="shared" si="1"/>
        <v>162.06866666666667</v>
      </c>
    </row>
    <row r="47" spans="1:8" x14ac:dyDescent="0.3">
      <c r="A47" s="1">
        <v>43586</v>
      </c>
      <c r="B47">
        <v>257.81799999999998</v>
      </c>
      <c r="C47" s="1">
        <v>43586</v>
      </c>
      <c r="D47">
        <v>123.764</v>
      </c>
      <c r="E47" s="1">
        <v>43586</v>
      </c>
      <c r="F47">
        <v>104.452</v>
      </c>
      <c r="G47">
        <f t="shared" si="0"/>
        <v>486.03399999999999</v>
      </c>
      <c r="H47">
        <f t="shared" si="1"/>
        <v>162.01133333333334</v>
      </c>
    </row>
    <row r="48" spans="1:8" x14ac:dyDescent="0.3">
      <c r="A48" s="1">
        <v>43617</v>
      </c>
      <c r="B48">
        <v>257.952</v>
      </c>
      <c r="C48" s="1">
        <v>43617</v>
      </c>
      <c r="D48">
        <v>124.75</v>
      </c>
      <c r="E48" s="1">
        <v>43617</v>
      </c>
      <c r="F48">
        <v>104.45399999999999</v>
      </c>
      <c r="G48">
        <f t="shared" si="0"/>
        <v>487.15600000000001</v>
      </c>
      <c r="H48">
        <f t="shared" si="1"/>
        <v>162.38533333333334</v>
      </c>
    </row>
    <row r="49" spans="1:8" x14ac:dyDescent="0.3">
      <c r="A49" s="1">
        <v>43647</v>
      </c>
      <c r="B49">
        <v>258.05900000000003</v>
      </c>
      <c r="C49" s="1">
        <v>43647</v>
      </c>
      <c r="D49">
        <v>124.73099999999999</v>
      </c>
      <c r="E49" s="1">
        <v>43647</v>
      </c>
      <c r="F49">
        <v>104.61499999999999</v>
      </c>
      <c r="G49">
        <f t="shared" si="0"/>
        <v>487.40500000000003</v>
      </c>
      <c r="H49">
        <f t="shared" si="1"/>
        <v>162.46833333333333</v>
      </c>
    </row>
    <row r="50" spans="1:8" x14ac:dyDescent="0.3">
      <c r="A50" s="1">
        <v>43678</v>
      </c>
      <c r="B50">
        <v>258.28800000000001</v>
      </c>
      <c r="C50" s="1">
        <v>43678</v>
      </c>
      <c r="D50">
        <v>124.532</v>
      </c>
      <c r="E50" s="1">
        <v>43678</v>
      </c>
      <c r="F50">
        <v>104.63200000000001</v>
      </c>
      <c r="G50">
        <f t="shared" si="0"/>
        <v>487.452</v>
      </c>
      <c r="H50">
        <f t="shared" si="1"/>
        <v>162.48400000000001</v>
      </c>
    </row>
    <row r="51" spans="1:8" x14ac:dyDescent="0.3">
      <c r="A51" s="1">
        <v>43709</v>
      </c>
      <c r="B51">
        <v>258.86500000000001</v>
      </c>
      <c r="C51" s="1">
        <v>43709</v>
      </c>
      <c r="D51">
        <v>124.795</v>
      </c>
      <c r="E51" s="1">
        <v>43709</v>
      </c>
      <c r="F51">
        <v>104.696</v>
      </c>
      <c r="G51">
        <f t="shared" si="0"/>
        <v>488.35599999999999</v>
      </c>
      <c r="H51">
        <f t="shared" si="1"/>
        <v>162.78533333333334</v>
      </c>
    </row>
    <row r="52" spans="1:8" x14ac:dyDescent="0.3">
      <c r="A52" s="1">
        <v>43739</v>
      </c>
      <c r="B52">
        <v>259.43400000000003</v>
      </c>
      <c r="C52" s="1">
        <v>43739</v>
      </c>
      <c r="D52">
        <v>123.489</v>
      </c>
      <c r="E52" s="1">
        <v>43739</v>
      </c>
      <c r="F52">
        <v>104.678</v>
      </c>
      <c r="G52">
        <f t="shared" si="0"/>
        <v>487.601</v>
      </c>
      <c r="H52">
        <f t="shared" si="1"/>
        <v>162.53366666666668</v>
      </c>
    </row>
    <row r="53" spans="1:8" x14ac:dyDescent="0.3">
      <c r="A53" s="1">
        <v>43770</v>
      </c>
      <c r="B53">
        <v>260.048</v>
      </c>
      <c r="C53" s="1">
        <v>43770</v>
      </c>
      <c r="D53">
        <v>123.55</v>
      </c>
      <c r="E53" s="1">
        <v>43770</v>
      </c>
      <c r="F53">
        <v>104.581</v>
      </c>
      <c r="G53">
        <f t="shared" si="0"/>
        <v>488.17900000000003</v>
      </c>
      <c r="H53">
        <f t="shared" si="1"/>
        <v>162.72633333333334</v>
      </c>
    </row>
    <row r="54" spans="1:8" x14ac:dyDescent="0.3">
      <c r="A54" s="1">
        <v>43800</v>
      </c>
      <c r="B54">
        <v>260.483</v>
      </c>
      <c r="C54" s="1">
        <v>43800</v>
      </c>
      <c r="D54">
        <v>122.85899999999999</v>
      </c>
      <c r="E54" s="1">
        <v>43800</v>
      </c>
      <c r="F54">
        <v>104.36199999999999</v>
      </c>
      <c r="G54">
        <f t="shared" si="0"/>
        <v>487.70399999999995</v>
      </c>
      <c r="H54">
        <f t="shared" si="1"/>
        <v>162.56799999999998</v>
      </c>
    </row>
    <row r="55" spans="1:8" x14ac:dyDescent="0.3">
      <c r="A55" s="1">
        <v>43831</v>
      </c>
      <c r="B55">
        <v>261.29300000000001</v>
      </c>
      <c r="C55" s="1">
        <v>43831</v>
      </c>
      <c r="D55">
        <v>122.477</v>
      </c>
      <c r="E55" s="1">
        <v>43831</v>
      </c>
      <c r="F55">
        <v>104.307</v>
      </c>
      <c r="G55">
        <f t="shared" si="0"/>
        <v>488.077</v>
      </c>
      <c r="H55">
        <f t="shared" si="1"/>
        <v>162.69233333333332</v>
      </c>
    </row>
    <row r="56" spans="1:8" x14ac:dyDescent="0.3">
      <c r="A56" s="1">
        <v>43862</v>
      </c>
      <c r="B56">
        <v>261.96199999999999</v>
      </c>
      <c r="C56" s="1">
        <v>43862</v>
      </c>
      <c r="D56">
        <v>122.952</v>
      </c>
      <c r="E56" s="1">
        <v>43862</v>
      </c>
      <c r="F56">
        <v>104.72199999999999</v>
      </c>
      <c r="G56">
        <f t="shared" si="0"/>
        <v>489.63599999999997</v>
      </c>
      <c r="H56">
        <f t="shared" si="1"/>
        <v>163.21199999999999</v>
      </c>
    </row>
    <row r="57" spans="1:8" x14ac:dyDescent="0.3">
      <c r="A57" s="1">
        <v>43891</v>
      </c>
      <c r="B57">
        <v>262.62200000000001</v>
      </c>
      <c r="C57" s="1">
        <v>43891</v>
      </c>
      <c r="D57">
        <v>121.55800000000001</v>
      </c>
      <c r="E57" s="1">
        <v>43891</v>
      </c>
      <c r="F57">
        <v>104.818</v>
      </c>
      <c r="G57">
        <f t="shared" si="0"/>
        <v>488.99799999999999</v>
      </c>
      <c r="H57">
        <f t="shared" si="1"/>
        <v>162.99933333333334</v>
      </c>
    </row>
    <row r="58" spans="1:8" x14ac:dyDescent="0.3">
      <c r="A58" s="1">
        <v>43922</v>
      </c>
      <c r="B58">
        <v>266.37</v>
      </c>
      <c r="C58" s="1">
        <v>43922</v>
      </c>
      <c r="D58">
        <v>117.065</v>
      </c>
      <c r="E58" s="1">
        <v>43922</v>
      </c>
      <c r="F58">
        <v>104.288</v>
      </c>
      <c r="G58">
        <f t="shared" si="0"/>
        <v>487.72300000000001</v>
      </c>
      <c r="H58">
        <f t="shared" si="1"/>
        <v>162.57433333333333</v>
      </c>
    </row>
    <row r="59" spans="1:8" x14ac:dyDescent="0.3">
      <c r="A59" s="1">
        <v>43952</v>
      </c>
      <c r="B59">
        <v>268.08600000000001</v>
      </c>
      <c r="C59" s="1">
        <v>43952</v>
      </c>
      <c r="D59">
        <v>114.244</v>
      </c>
      <c r="E59" s="1">
        <v>43952</v>
      </c>
      <c r="F59">
        <v>104.039</v>
      </c>
      <c r="G59">
        <f t="shared" si="0"/>
        <v>486.36900000000003</v>
      </c>
      <c r="H59">
        <f t="shared" si="1"/>
        <v>162.12300000000002</v>
      </c>
    </row>
    <row r="60" spans="1:8" x14ac:dyDescent="0.3">
      <c r="A60" s="1">
        <v>43983</v>
      </c>
      <c r="B60">
        <v>269.553</v>
      </c>
      <c r="C60" s="1">
        <v>43983</v>
      </c>
      <c r="D60">
        <v>115.66500000000001</v>
      </c>
      <c r="E60" s="1">
        <v>43983</v>
      </c>
      <c r="F60">
        <v>103.54300000000001</v>
      </c>
      <c r="G60">
        <f t="shared" si="0"/>
        <v>488.76100000000002</v>
      </c>
      <c r="H60">
        <f t="shared" si="1"/>
        <v>162.92033333333333</v>
      </c>
    </row>
    <row r="61" spans="1:8" x14ac:dyDescent="0.3">
      <c r="A61" s="1">
        <v>44013</v>
      </c>
      <c r="B61">
        <v>268.53199999999998</v>
      </c>
      <c r="C61" s="1">
        <v>44013</v>
      </c>
      <c r="D61">
        <v>116.57599999999999</v>
      </c>
      <c r="E61" s="1">
        <v>44013</v>
      </c>
      <c r="F61">
        <v>104.584</v>
      </c>
      <c r="G61">
        <f t="shared" si="0"/>
        <v>489.69199999999995</v>
      </c>
      <c r="H61">
        <f t="shared" si="1"/>
        <v>163.23066666666665</v>
      </c>
    </row>
    <row r="62" spans="1:8" x14ac:dyDescent="0.3">
      <c r="A62" s="1">
        <v>44044</v>
      </c>
      <c r="B62">
        <v>268.95699999999999</v>
      </c>
      <c r="C62" s="1">
        <v>44044</v>
      </c>
      <c r="D62">
        <v>116.907</v>
      </c>
      <c r="E62" s="1">
        <v>44044</v>
      </c>
      <c r="F62">
        <v>106.422</v>
      </c>
      <c r="G62">
        <f t="shared" si="0"/>
        <v>492.28599999999994</v>
      </c>
      <c r="H62">
        <f t="shared" si="1"/>
        <v>164.09533333333331</v>
      </c>
    </row>
    <row r="63" spans="1:8" x14ac:dyDescent="0.3">
      <c r="A63" s="1">
        <v>44075</v>
      </c>
      <c r="B63">
        <v>269.04300000000001</v>
      </c>
      <c r="C63" s="1">
        <v>44075</v>
      </c>
      <c r="D63">
        <v>117.157</v>
      </c>
      <c r="E63" s="1">
        <v>44075</v>
      </c>
      <c r="F63">
        <v>107.527</v>
      </c>
      <c r="G63">
        <f t="shared" si="0"/>
        <v>493.72699999999998</v>
      </c>
      <c r="H63">
        <f t="shared" si="1"/>
        <v>164.57566666666665</v>
      </c>
    </row>
    <row r="64" spans="1:8" x14ac:dyDescent="0.3">
      <c r="A64" s="1">
        <v>44105</v>
      </c>
      <c r="B64">
        <v>269.65300000000002</v>
      </c>
      <c r="C64" s="1">
        <v>44105</v>
      </c>
      <c r="D64">
        <v>117.158</v>
      </c>
      <c r="E64" s="1">
        <v>44105</v>
      </c>
      <c r="F64">
        <v>108.063</v>
      </c>
      <c r="G64">
        <f t="shared" si="0"/>
        <v>494.87400000000002</v>
      </c>
      <c r="H64">
        <f t="shared" si="1"/>
        <v>164.958</v>
      </c>
    </row>
    <row r="65" spans="1:8" x14ac:dyDescent="0.3">
      <c r="A65" s="1">
        <v>44136</v>
      </c>
      <c r="B65">
        <v>269.63600000000002</v>
      </c>
      <c r="C65" s="1">
        <v>44136</v>
      </c>
      <c r="D65">
        <v>117.411</v>
      </c>
      <c r="E65" s="1">
        <v>44136</v>
      </c>
      <c r="F65">
        <v>108.116</v>
      </c>
      <c r="G65">
        <f t="shared" si="0"/>
        <v>495.16300000000001</v>
      </c>
      <c r="H65">
        <f t="shared" si="1"/>
        <v>165.05433333333335</v>
      </c>
    </row>
    <row r="66" spans="1:8" x14ac:dyDescent="0.3">
      <c r="A66" s="1">
        <v>44166</v>
      </c>
      <c r="B66">
        <v>270.78100000000001</v>
      </c>
      <c r="C66" s="1">
        <v>44166</v>
      </c>
      <c r="D66">
        <v>117.967</v>
      </c>
      <c r="E66" s="1">
        <v>44166</v>
      </c>
      <c r="F66">
        <v>108.229</v>
      </c>
      <c r="G66">
        <f t="shared" si="0"/>
        <v>496.97699999999998</v>
      </c>
      <c r="H66">
        <f t="shared" si="1"/>
        <v>165.65899999999999</v>
      </c>
    </row>
    <row r="67" spans="1:8" x14ac:dyDescent="0.3">
      <c r="A67" s="1">
        <v>44197</v>
      </c>
      <c r="B67">
        <v>271.22300000000001</v>
      </c>
      <c r="C67" s="1">
        <v>44197</v>
      </c>
      <c r="D67">
        <v>119.233</v>
      </c>
      <c r="E67" s="1">
        <v>44197</v>
      </c>
      <c r="F67">
        <v>107.97199999999999</v>
      </c>
      <c r="G67">
        <f t="shared" ref="G67:G122" si="2">+B67+D67+F67</f>
        <v>498.428</v>
      </c>
      <c r="H67">
        <f t="shared" ref="H67:H122" si="3">+G67/3</f>
        <v>166.14266666666666</v>
      </c>
    </row>
    <row r="68" spans="1:8" x14ac:dyDescent="0.3">
      <c r="A68" s="1">
        <v>44228</v>
      </c>
      <c r="B68">
        <v>271.49799999999999</v>
      </c>
      <c r="C68" s="1">
        <v>44228</v>
      </c>
      <c r="D68">
        <v>118.398</v>
      </c>
      <c r="E68" s="1">
        <v>44228</v>
      </c>
      <c r="F68">
        <v>108.229</v>
      </c>
      <c r="G68">
        <f t="shared" si="2"/>
        <v>498.12499999999994</v>
      </c>
      <c r="H68">
        <f t="shared" si="3"/>
        <v>166.04166666666666</v>
      </c>
    </row>
    <row r="69" spans="1:8" x14ac:dyDescent="0.3">
      <c r="A69" s="1">
        <v>44256</v>
      </c>
      <c r="B69">
        <v>271.75599999999997</v>
      </c>
      <c r="C69" s="1">
        <v>44256</v>
      </c>
      <c r="D69">
        <v>118.48099999999999</v>
      </c>
      <c r="E69" s="1">
        <v>44256</v>
      </c>
      <c r="F69">
        <v>108.754</v>
      </c>
      <c r="G69">
        <f t="shared" si="2"/>
        <v>498.99099999999999</v>
      </c>
      <c r="H69">
        <f t="shared" si="3"/>
        <v>166.33033333333333</v>
      </c>
    </row>
    <row r="70" spans="1:8" x14ac:dyDescent="0.3">
      <c r="A70" s="1">
        <v>44287</v>
      </c>
      <c r="B70">
        <v>272.76100000000002</v>
      </c>
      <c r="C70" s="1">
        <v>44287</v>
      </c>
      <c r="D70">
        <v>119.495</v>
      </c>
      <c r="E70" s="1">
        <v>44287</v>
      </c>
      <c r="F70">
        <v>111.95099999999999</v>
      </c>
      <c r="G70">
        <f t="shared" si="2"/>
        <v>504.20699999999999</v>
      </c>
      <c r="H70">
        <f t="shared" si="3"/>
        <v>168.06899999999999</v>
      </c>
    </row>
    <row r="71" spans="1:8" x14ac:dyDescent="0.3">
      <c r="A71" s="1">
        <v>44317</v>
      </c>
      <c r="B71">
        <v>273.89</v>
      </c>
      <c r="C71" s="1">
        <v>44317</v>
      </c>
      <c r="D71">
        <v>120.61199999999999</v>
      </c>
      <c r="E71" s="1">
        <v>44317</v>
      </c>
      <c r="F71">
        <v>114.749</v>
      </c>
      <c r="G71">
        <f t="shared" si="2"/>
        <v>509.25099999999998</v>
      </c>
      <c r="H71">
        <f t="shared" si="3"/>
        <v>169.75033333333332</v>
      </c>
    </row>
    <row r="72" spans="1:8" x14ac:dyDescent="0.3">
      <c r="A72" s="1">
        <v>44348</v>
      </c>
      <c r="B72">
        <v>276.00200000000001</v>
      </c>
      <c r="C72" s="1">
        <v>44348</v>
      </c>
      <c r="D72">
        <v>121.17100000000001</v>
      </c>
      <c r="E72" s="1">
        <v>44348</v>
      </c>
      <c r="F72">
        <v>118.684</v>
      </c>
      <c r="G72">
        <f t="shared" si="2"/>
        <v>515.85699999999997</v>
      </c>
      <c r="H72">
        <f t="shared" si="3"/>
        <v>171.95233333333331</v>
      </c>
    </row>
    <row r="73" spans="1:8" x14ac:dyDescent="0.3">
      <c r="A73" s="1">
        <v>44378</v>
      </c>
      <c r="B73">
        <v>277.75900000000001</v>
      </c>
      <c r="C73" s="1">
        <v>44378</v>
      </c>
      <c r="D73">
        <v>121.318</v>
      </c>
      <c r="E73" s="1">
        <v>44378</v>
      </c>
      <c r="F73">
        <v>119.53100000000001</v>
      </c>
      <c r="G73">
        <f t="shared" si="2"/>
        <v>518.60799999999995</v>
      </c>
      <c r="H73">
        <f t="shared" si="3"/>
        <v>172.86933333333332</v>
      </c>
    </row>
    <row r="74" spans="1:8" x14ac:dyDescent="0.3">
      <c r="A74" s="1">
        <v>44409</v>
      </c>
      <c r="B74">
        <v>278.98500000000001</v>
      </c>
      <c r="C74" s="1">
        <v>44409</v>
      </c>
      <c r="D74">
        <v>121.569</v>
      </c>
      <c r="E74" s="1">
        <v>44409</v>
      </c>
      <c r="F74">
        <v>120.047</v>
      </c>
      <c r="G74">
        <f t="shared" si="2"/>
        <v>520.601</v>
      </c>
      <c r="H74">
        <f t="shared" si="3"/>
        <v>173.53366666666668</v>
      </c>
    </row>
    <row r="75" spans="1:8" x14ac:dyDescent="0.3">
      <c r="A75" s="1">
        <v>44440</v>
      </c>
      <c r="B75">
        <v>281.29899999999998</v>
      </c>
      <c r="C75" s="1">
        <v>44440</v>
      </c>
      <c r="D75">
        <v>121.124</v>
      </c>
      <c r="E75" s="1">
        <v>44440</v>
      </c>
      <c r="F75">
        <v>120.12</v>
      </c>
      <c r="G75">
        <f t="shared" si="2"/>
        <v>522.54300000000001</v>
      </c>
      <c r="H75">
        <f t="shared" si="3"/>
        <v>174.18100000000001</v>
      </c>
    </row>
    <row r="76" spans="1:8" x14ac:dyDescent="0.3">
      <c r="A76" s="1">
        <v>44470</v>
      </c>
      <c r="B76">
        <v>283.97199999999998</v>
      </c>
      <c r="C76" s="1">
        <v>44470</v>
      </c>
      <c r="D76">
        <v>122.52200000000001</v>
      </c>
      <c r="E76" s="1">
        <v>44470</v>
      </c>
      <c r="F76">
        <v>122.34099999999999</v>
      </c>
      <c r="G76">
        <f t="shared" si="2"/>
        <v>528.83499999999992</v>
      </c>
      <c r="H76">
        <f t="shared" si="3"/>
        <v>176.27833333333331</v>
      </c>
    </row>
    <row r="77" spans="1:8" x14ac:dyDescent="0.3">
      <c r="A77" s="1">
        <v>44501</v>
      </c>
      <c r="B77">
        <v>286.05700000000002</v>
      </c>
      <c r="C77" s="1">
        <v>44501</v>
      </c>
      <c r="D77">
        <v>123.62</v>
      </c>
      <c r="E77" s="1">
        <v>44501</v>
      </c>
      <c r="F77">
        <v>124.23099999999999</v>
      </c>
      <c r="G77">
        <f t="shared" si="2"/>
        <v>533.90800000000002</v>
      </c>
      <c r="H77">
        <f t="shared" si="3"/>
        <v>177.96933333333334</v>
      </c>
    </row>
    <row r="78" spans="1:8" x14ac:dyDescent="0.3">
      <c r="A78" s="1">
        <v>44531</v>
      </c>
      <c r="B78">
        <v>287.798</v>
      </c>
      <c r="C78" s="1">
        <v>44531</v>
      </c>
      <c r="D78">
        <v>124.887</v>
      </c>
      <c r="E78" s="1">
        <v>44531</v>
      </c>
      <c r="F78">
        <v>126.389</v>
      </c>
      <c r="G78">
        <f t="shared" si="2"/>
        <v>539.07399999999996</v>
      </c>
      <c r="H78">
        <f t="shared" si="3"/>
        <v>179.69133333333332</v>
      </c>
    </row>
    <row r="79" spans="1:8" x14ac:dyDescent="0.3">
      <c r="A79" s="1">
        <v>44562</v>
      </c>
      <c r="B79">
        <v>290.14400000000001</v>
      </c>
      <c r="C79" s="1">
        <v>44562</v>
      </c>
      <c r="D79">
        <v>125.56100000000001</v>
      </c>
      <c r="E79" s="1">
        <v>44562</v>
      </c>
      <c r="F79">
        <v>127.907</v>
      </c>
      <c r="G79">
        <f t="shared" si="2"/>
        <v>543.61200000000008</v>
      </c>
      <c r="H79">
        <f t="shared" si="3"/>
        <v>181.20400000000004</v>
      </c>
    </row>
    <row r="80" spans="1:8" x14ac:dyDescent="0.3">
      <c r="A80" s="1">
        <v>44593</v>
      </c>
      <c r="B80">
        <v>292.97800000000001</v>
      </c>
      <c r="C80" s="1">
        <v>44593</v>
      </c>
      <c r="D80">
        <v>126.129</v>
      </c>
      <c r="E80" s="1">
        <v>44593</v>
      </c>
      <c r="F80">
        <v>128.53899999999999</v>
      </c>
      <c r="G80">
        <f t="shared" si="2"/>
        <v>547.64599999999996</v>
      </c>
      <c r="H80">
        <f t="shared" si="3"/>
        <v>182.54866666666666</v>
      </c>
    </row>
    <row r="81" spans="1:8" x14ac:dyDescent="0.3">
      <c r="A81" s="1">
        <v>44621</v>
      </c>
      <c r="B81">
        <v>295.71300000000002</v>
      </c>
      <c r="C81" s="1">
        <v>44621</v>
      </c>
      <c r="D81">
        <v>126.456</v>
      </c>
      <c r="E81" s="1">
        <v>44621</v>
      </c>
      <c r="F81">
        <v>127.705</v>
      </c>
      <c r="G81">
        <f t="shared" si="2"/>
        <v>549.87400000000002</v>
      </c>
      <c r="H81">
        <f t="shared" si="3"/>
        <v>183.29133333333334</v>
      </c>
    </row>
    <row r="82" spans="1:8" x14ac:dyDescent="0.3">
      <c r="A82" s="1">
        <v>44652</v>
      </c>
      <c r="B82">
        <v>298.363</v>
      </c>
      <c r="C82" s="1">
        <v>44652</v>
      </c>
      <c r="D82">
        <v>125.96</v>
      </c>
      <c r="E82" s="1">
        <v>44652</v>
      </c>
      <c r="F82">
        <v>127.623</v>
      </c>
      <c r="G82">
        <f t="shared" si="2"/>
        <v>551.94600000000003</v>
      </c>
      <c r="H82">
        <f t="shared" si="3"/>
        <v>183.982</v>
      </c>
    </row>
    <row r="83" spans="1:8" x14ac:dyDescent="0.3">
      <c r="A83" s="1">
        <v>44682</v>
      </c>
      <c r="B83">
        <v>301.68400000000003</v>
      </c>
      <c r="C83" s="1">
        <v>44682</v>
      </c>
      <c r="D83">
        <v>126.53</v>
      </c>
      <c r="E83" s="1">
        <v>44682</v>
      </c>
      <c r="F83">
        <v>127.79300000000001</v>
      </c>
      <c r="G83">
        <f t="shared" si="2"/>
        <v>556.00700000000006</v>
      </c>
      <c r="H83">
        <f t="shared" si="3"/>
        <v>185.3356666666667</v>
      </c>
    </row>
    <row r="84" spans="1:8" x14ac:dyDescent="0.3">
      <c r="A84" s="1">
        <v>44713</v>
      </c>
      <c r="B84">
        <v>304.84500000000003</v>
      </c>
      <c r="C84" s="1">
        <v>44713</v>
      </c>
      <c r="D84">
        <v>127.274</v>
      </c>
      <c r="E84" s="1">
        <v>44713</v>
      </c>
      <c r="F84">
        <v>128.624</v>
      </c>
      <c r="G84">
        <f t="shared" si="2"/>
        <v>560.74300000000005</v>
      </c>
      <c r="H84">
        <f t="shared" si="3"/>
        <v>186.91433333333336</v>
      </c>
    </row>
    <row r="85" spans="1:8" x14ac:dyDescent="0.3">
      <c r="A85" s="1">
        <v>44743</v>
      </c>
      <c r="B85">
        <v>308.08300000000003</v>
      </c>
      <c r="C85" s="1">
        <v>44743</v>
      </c>
      <c r="D85">
        <v>127.34399999999999</v>
      </c>
      <c r="E85" s="1">
        <v>44743</v>
      </c>
      <c r="F85">
        <v>128.98699999999999</v>
      </c>
      <c r="G85">
        <f t="shared" si="2"/>
        <v>564.41399999999999</v>
      </c>
      <c r="H85">
        <f t="shared" si="3"/>
        <v>188.13800000000001</v>
      </c>
    </row>
    <row r="86" spans="1:8" x14ac:dyDescent="0.3">
      <c r="A86" s="1">
        <v>44774</v>
      </c>
      <c r="B86">
        <v>310.73899999999998</v>
      </c>
      <c r="C86" s="1">
        <v>44774</v>
      </c>
      <c r="D86">
        <v>127.49299999999999</v>
      </c>
      <c r="E86" s="1">
        <v>44774</v>
      </c>
      <c r="F86">
        <v>129.441</v>
      </c>
      <c r="G86">
        <f t="shared" si="2"/>
        <v>567.673</v>
      </c>
      <c r="H86">
        <f t="shared" si="3"/>
        <v>189.22433333333333</v>
      </c>
    </row>
    <row r="87" spans="1:8" x14ac:dyDescent="0.3">
      <c r="A87" s="1">
        <v>44805</v>
      </c>
      <c r="B87">
        <v>312.83499999999998</v>
      </c>
      <c r="C87" s="1">
        <v>44805</v>
      </c>
      <c r="D87">
        <v>127.712</v>
      </c>
      <c r="E87" s="1">
        <v>44805</v>
      </c>
      <c r="F87">
        <v>128.66900000000001</v>
      </c>
      <c r="G87">
        <f t="shared" si="2"/>
        <v>569.21600000000001</v>
      </c>
      <c r="H87">
        <f t="shared" si="3"/>
        <v>189.73866666666666</v>
      </c>
    </row>
    <row r="88" spans="1:8" x14ac:dyDescent="0.3">
      <c r="A88" s="1">
        <v>44835</v>
      </c>
      <c r="B88">
        <v>315.02300000000002</v>
      </c>
      <c r="C88" s="1">
        <v>44835</v>
      </c>
      <c r="D88">
        <v>127.76</v>
      </c>
      <c r="E88" s="1">
        <v>44835</v>
      </c>
      <c r="F88">
        <v>128.11500000000001</v>
      </c>
      <c r="G88">
        <f t="shared" si="2"/>
        <v>570.89800000000002</v>
      </c>
      <c r="H88">
        <f t="shared" si="3"/>
        <v>190.29933333333335</v>
      </c>
    </row>
    <row r="89" spans="1:8" x14ac:dyDescent="0.3">
      <c r="A89" s="1">
        <v>44866</v>
      </c>
      <c r="B89">
        <v>316.5</v>
      </c>
      <c r="C89" s="1">
        <v>44866</v>
      </c>
      <c r="D89">
        <v>128.386</v>
      </c>
      <c r="E89" s="1">
        <v>44866</v>
      </c>
      <c r="F89">
        <v>127.14100000000001</v>
      </c>
      <c r="G89">
        <f t="shared" si="2"/>
        <v>572.02699999999993</v>
      </c>
      <c r="H89">
        <f t="shared" si="3"/>
        <v>190.67566666666664</v>
      </c>
    </row>
    <row r="90" spans="1:8" x14ac:dyDescent="0.3">
      <c r="A90" s="1">
        <v>44896</v>
      </c>
      <c r="B90">
        <v>317.798</v>
      </c>
      <c r="C90" s="1">
        <v>44896</v>
      </c>
      <c r="D90">
        <v>128.69</v>
      </c>
      <c r="E90" s="1">
        <v>44896</v>
      </c>
      <c r="F90">
        <v>126.283</v>
      </c>
      <c r="G90">
        <f t="shared" si="2"/>
        <v>572.77099999999996</v>
      </c>
      <c r="H90">
        <f t="shared" si="3"/>
        <v>190.92366666666666</v>
      </c>
    </row>
    <row r="91" spans="1:8" x14ac:dyDescent="0.3">
      <c r="A91" s="1">
        <v>44927</v>
      </c>
      <c r="B91">
        <v>319.42099999999999</v>
      </c>
      <c r="C91" s="1">
        <v>44927</v>
      </c>
      <c r="D91">
        <v>129.41399999999999</v>
      </c>
      <c r="E91" s="1">
        <v>44927</v>
      </c>
      <c r="F91">
        <v>126.33499999999999</v>
      </c>
      <c r="G91">
        <f t="shared" si="2"/>
        <v>575.16999999999996</v>
      </c>
      <c r="H91">
        <f t="shared" si="3"/>
        <v>191.72333333333333</v>
      </c>
    </row>
    <row r="92" spans="1:8" x14ac:dyDescent="0.3">
      <c r="A92" s="1">
        <v>44958</v>
      </c>
      <c r="B92">
        <v>320.65100000000001</v>
      </c>
      <c r="C92" s="1">
        <v>44958</v>
      </c>
      <c r="D92">
        <v>130.244</v>
      </c>
      <c r="E92" s="1">
        <v>44958</v>
      </c>
      <c r="F92">
        <v>126.273</v>
      </c>
      <c r="G92">
        <f t="shared" si="2"/>
        <v>577.16800000000001</v>
      </c>
      <c r="H92">
        <f t="shared" si="3"/>
        <v>192.38933333333333</v>
      </c>
    </row>
    <row r="93" spans="1:8" x14ac:dyDescent="0.3">
      <c r="A93" s="1">
        <v>44986</v>
      </c>
      <c r="B93">
        <v>320.79700000000003</v>
      </c>
      <c r="C93" s="1">
        <v>44986</v>
      </c>
      <c r="D93">
        <v>130.44300000000001</v>
      </c>
      <c r="E93" s="1">
        <v>44986</v>
      </c>
      <c r="F93">
        <v>126.514</v>
      </c>
      <c r="G93">
        <f t="shared" si="2"/>
        <v>577.75400000000002</v>
      </c>
      <c r="H93">
        <f t="shared" si="3"/>
        <v>192.58466666666666</v>
      </c>
    </row>
    <row r="94" spans="1:8" x14ac:dyDescent="0.3">
      <c r="A94" s="1">
        <v>45017</v>
      </c>
      <c r="B94">
        <v>321.209</v>
      </c>
      <c r="C94" s="1">
        <v>45017</v>
      </c>
      <c r="D94">
        <v>130.43600000000001</v>
      </c>
      <c r="E94" s="1">
        <v>45017</v>
      </c>
      <c r="F94">
        <v>127.438</v>
      </c>
      <c r="G94">
        <f t="shared" si="2"/>
        <v>579.08299999999997</v>
      </c>
      <c r="H94">
        <f t="shared" si="3"/>
        <v>193.02766666666665</v>
      </c>
    </row>
    <row r="95" spans="1:8" x14ac:dyDescent="0.3">
      <c r="A95" s="1">
        <v>45047</v>
      </c>
      <c r="B95">
        <v>321.93299999999999</v>
      </c>
      <c r="C95" s="1">
        <v>45047</v>
      </c>
      <c r="D95">
        <v>130.833</v>
      </c>
      <c r="E95" s="1">
        <v>45047</v>
      </c>
      <c r="F95">
        <v>127.718</v>
      </c>
      <c r="G95">
        <f t="shared" si="2"/>
        <v>580.48399999999992</v>
      </c>
      <c r="H95">
        <f t="shared" si="3"/>
        <v>193.49466666666663</v>
      </c>
    </row>
    <row r="96" spans="1:8" x14ac:dyDescent="0.3">
      <c r="A96" s="1">
        <v>45078</v>
      </c>
      <c r="B96">
        <v>322.40600000000001</v>
      </c>
      <c r="C96" s="1">
        <v>45078</v>
      </c>
      <c r="D96">
        <v>130.95500000000001</v>
      </c>
      <c r="E96" s="1">
        <v>45078</v>
      </c>
      <c r="F96">
        <v>127.529</v>
      </c>
      <c r="G96">
        <f t="shared" si="2"/>
        <v>580.89</v>
      </c>
      <c r="H96">
        <f t="shared" si="3"/>
        <v>193.63</v>
      </c>
    </row>
    <row r="97" spans="1:8" x14ac:dyDescent="0.3">
      <c r="A97" s="1">
        <v>45108</v>
      </c>
      <c r="B97">
        <v>323.04599999999999</v>
      </c>
      <c r="C97" s="1">
        <v>45108</v>
      </c>
      <c r="D97">
        <v>131.26499999999999</v>
      </c>
      <c r="E97" s="1">
        <v>45108</v>
      </c>
      <c r="F97">
        <v>127.161</v>
      </c>
      <c r="G97">
        <f t="shared" si="2"/>
        <v>581.47199999999998</v>
      </c>
      <c r="H97">
        <f t="shared" si="3"/>
        <v>193.82399999999998</v>
      </c>
    </row>
    <row r="98" spans="1:8" x14ac:dyDescent="0.3">
      <c r="A98" s="1">
        <v>45139</v>
      </c>
      <c r="B98">
        <v>323.95699999999999</v>
      </c>
      <c r="C98" s="1">
        <v>45139</v>
      </c>
      <c r="D98">
        <v>131.268</v>
      </c>
      <c r="E98" s="1">
        <v>45139</v>
      </c>
      <c r="F98">
        <v>126.88800000000001</v>
      </c>
      <c r="G98">
        <f t="shared" si="2"/>
        <v>582.11300000000006</v>
      </c>
      <c r="H98">
        <f t="shared" si="3"/>
        <v>194.03766666666669</v>
      </c>
    </row>
    <row r="99" spans="1:8" x14ac:dyDescent="0.3">
      <c r="A99" s="1">
        <v>45170</v>
      </c>
      <c r="B99">
        <v>324.33199999999999</v>
      </c>
      <c r="C99" s="1">
        <v>45170</v>
      </c>
      <c r="D99">
        <v>130.56</v>
      </c>
      <c r="E99" s="1">
        <v>45170</v>
      </c>
      <c r="F99">
        <v>125.791</v>
      </c>
      <c r="G99">
        <f t="shared" si="2"/>
        <v>580.68299999999999</v>
      </c>
      <c r="H99">
        <f t="shared" si="3"/>
        <v>193.56100000000001</v>
      </c>
    </row>
    <row r="100" spans="1:8" x14ac:dyDescent="0.3">
      <c r="A100" s="1">
        <v>45200</v>
      </c>
      <c r="B100">
        <v>325.42399999999998</v>
      </c>
      <c r="C100" s="1">
        <v>45200</v>
      </c>
      <c r="D100">
        <v>131.25700000000001</v>
      </c>
      <c r="E100" s="1">
        <v>45200</v>
      </c>
      <c r="F100">
        <v>125.429</v>
      </c>
      <c r="G100">
        <f t="shared" si="2"/>
        <v>582.11</v>
      </c>
      <c r="H100">
        <f t="shared" si="3"/>
        <v>194.03666666666666</v>
      </c>
    </row>
    <row r="101" spans="1:8" x14ac:dyDescent="0.3">
      <c r="A101" s="1">
        <v>45231</v>
      </c>
      <c r="B101">
        <v>325.80799999999999</v>
      </c>
      <c r="C101" s="1">
        <v>45231</v>
      </c>
      <c r="D101">
        <v>130.19200000000001</v>
      </c>
      <c r="E101" s="1">
        <v>45231</v>
      </c>
      <c r="F101">
        <v>125.09</v>
      </c>
      <c r="G101">
        <f t="shared" si="2"/>
        <v>581.09</v>
      </c>
      <c r="H101">
        <f t="shared" si="3"/>
        <v>193.69666666666669</v>
      </c>
    </row>
    <row r="102" spans="1:8" x14ac:dyDescent="0.3">
      <c r="A102" s="1">
        <v>45261</v>
      </c>
      <c r="B102">
        <v>326.44200000000001</v>
      </c>
      <c r="C102" s="1">
        <v>45261</v>
      </c>
      <c r="D102">
        <v>130.26900000000001</v>
      </c>
      <c r="E102" s="1">
        <v>45261</v>
      </c>
      <c r="F102">
        <v>124.715</v>
      </c>
      <c r="G102">
        <f t="shared" si="2"/>
        <v>581.42600000000004</v>
      </c>
      <c r="H102">
        <f t="shared" si="3"/>
        <v>193.80866666666668</v>
      </c>
    </row>
    <row r="103" spans="1:8" x14ac:dyDescent="0.3">
      <c r="A103" s="1">
        <v>45292</v>
      </c>
      <c r="B103">
        <v>327.57499999999999</v>
      </c>
      <c r="C103" s="1">
        <v>45292</v>
      </c>
      <c r="D103">
        <v>129.554</v>
      </c>
      <c r="E103" s="1">
        <v>45292</v>
      </c>
      <c r="F103">
        <v>124.351</v>
      </c>
      <c r="G103">
        <f t="shared" si="2"/>
        <v>581.48</v>
      </c>
      <c r="H103">
        <f t="shared" si="3"/>
        <v>193.82666666666668</v>
      </c>
    </row>
    <row r="104" spans="1:8" x14ac:dyDescent="0.3">
      <c r="A104" s="1">
        <v>45323</v>
      </c>
      <c r="B104">
        <v>327.803</v>
      </c>
      <c r="C104" s="1">
        <v>45323</v>
      </c>
      <c r="D104">
        <v>130.22300000000001</v>
      </c>
      <c r="E104" s="1">
        <v>45323</v>
      </c>
      <c r="F104">
        <v>124.315</v>
      </c>
      <c r="G104">
        <f t="shared" si="2"/>
        <v>582.34100000000001</v>
      </c>
      <c r="H104">
        <f t="shared" si="3"/>
        <v>194.11366666666666</v>
      </c>
    </row>
    <row r="105" spans="1:8" x14ac:dyDescent="0.3">
      <c r="A105" s="1">
        <v>45352</v>
      </c>
      <c r="B105">
        <v>328.00400000000002</v>
      </c>
      <c r="C105" s="1">
        <v>45352</v>
      </c>
      <c r="D105">
        <v>130.96199999999999</v>
      </c>
      <c r="E105" s="1">
        <v>45352</v>
      </c>
      <c r="F105">
        <v>123.96</v>
      </c>
      <c r="G105">
        <f t="shared" si="2"/>
        <v>582.92600000000004</v>
      </c>
      <c r="H105">
        <f t="shared" si="3"/>
        <v>194.30866666666668</v>
      </c>
    </row>
    <row r="106" spans="1:8" x14ac:dyDescent="0.3">
      <c r="A106" s="1">
        <v>45383</v>
      </c>
      <c r="B106">
        <v>328.41300000000001</v>
      </c>
      <c r="C106" s="1">
        <v>45383</v>
      </c>
      <c r="D106">
        <v>132.09800000000001</v>
      </c>
      <c r="E106" s="1">
        <v>45383</v>
      </c>
      <c r="F106">
        <v>123.425</v>
      </c>
      <c r="G106">
        <f t="shared" si="2"/>
        <v>583.93600000000004</v>
      </c>
      <c r="H106">
        <f t="shared" si="3"/>
        <v>194.64533333333335</v>
      </c>
    </row>
    <row r="107" spans="1:8" x14ac:dyDescent="0.3">
      <c r="A107" s="1">
        <v>45413</v>
      </c>
      <c r="B107">
        <v>328.86399999999998</v>
      </c>
      <c r="C107" s="1">
        <v>45413</v>
      </c>
      <c r="D107">
        <v>131.816</v>
      </c>
      <c r="E107" s="1">
        <v>45413</v>
      </c>
      <c r="F107">
        <v>122.82299999999999</v>
      </c>
      <c r="G107">
        <f t="shared" si="2"/>
        <v>583.50299999999993</v>
      </c>
      <c r="H107">
        <f t="shared" si="3"/>
        <v>194.50099999999998</v>
      </c>
    </row>
    <row r="108" spans="1:8" x14ac:dyDescent="0.3">
      <c r="A108" s="1">
        <v>45444</v>
      </c>
      <c r="B108">
        <v>329.65100000000001</v>
      </c>
      <c r="C108" s="1">
        <v>45444</v>
      </c>
      <c r="D108">
        <v>131.798</v>
      </c>
      <c r="E108" s="1">
        <v>45444</v>
      </c>
      <c r="F108">
        <v>122.24299999999999</v>
      </c>
      <c r="G108">
        <f t="shared" si="2"/>
        <v>583.69200000000001</v>
      </c>
      <c r="H108">
        <f t="shared" si="3"/>
        <v>194.56399999999999</v>
      </c>
    </row>
    <row r="109" spans="1:8" x14ac:dyDescent="0.3">
      <c r="A109" s="1">
        <v>45474</v>
      </c>
      <c r="B109">
        <v>330.142</v>
      </c>
      <c r="C109" s="1">
        <v>45474</v>
      </c>
      <c r="D109">
        <v>131.44800000000001</v>
      </c>
      <c r="E109" s="1">
        <v>45474</v>
      </c>
      <c r="F109">
        <v>121.889</v>
      </c>
      <c r="G109">
        <f t="shared" si="2"/>
        <v>583.47900000000004</v>
      </c>
      <c r="H109">
        <f t="shared" si="3"/>
        <v>194.49300000000002</v>
      </c>
    </row>
    <row r="110" spans="1:8" x14ac:dyDescent="0.3">
      <c r="A110" s="1">
        <v>45505</v>
      </c>
      <c r="B110">
        <v>330.64400000000001</v>
      </c>
      <c r="C110" s="1">
        <v>45505</v>
      </c>
      <c r="D110">
        <v>131.58099999999999</v>
      </c>
      <c r="E110" s="1">
        <v>45505</v>
      </c>
      <c r="F110">
        <v>121.557</v>
      </c>
      <c r="G110">
        <f t="shared" si="2"/>
        <v>583.78200000000004</v>
      </c>
      <c r="H110">
        <f t="shared" si="3"/>
        <v>194.59400000000002</v>
      </c>
    </row>
    <row r="111" spans="1:8" x14ac:dyDescent="0.3">
      <c r="A111" s="1">
        <v>45536</v>
      </c>
      <c r="B111">
        <v>331.71600000000001</v>
      </c>
      <c r="C111" s="1">
        <v>45536</v>
      </c>
      <c r="D111">
        <v>132.886</v>
      </c>
      <c r="E111" s="1">
        <v>45536</v>
      </c>
      <c r="F111">
        <v>122.119</v>
      </c>
      <c r="G111">
        <f t="shared" si="2"/>
        <v>586.721</v>
      </c>
      <c r="H111">
        <f t="shared" si="3"/>
        <v>195.57366666666667</v>
      </c>
    </row>
    <row r="112" spans="1:8" x14ac:dyDescent="0.3">
      <c r="A112" s="1">
        <v>45566</v>
      </c>
      <c r="B112">
        <v>332.41800000000001</v>
      </c>
      <c r="C112" s="1">
        <v>45566</v>
      </c>
      <c r="D112">
        <v>131.70599999999999</v>
      </c>
      <c r="E112" s="1">
        <v>45566</v>
      </c>
      <c r="F112">
        <v>122.33</v>
      </c>
      <c r="G112">
        <f t="shared" si="2"/>
        <v>586.45400000000006</v>
      </c>
      <c r="H112">
        <f t="shared" si="3"/>
        <v>195.4846666666667</v>
      </c>
    </row>
    <row r="113" spans="1:8" x14ac:dyDescent="0.3">
      <c r="A113" s="1">
        <v>45597</v>
      </c>
      <c r="B113">
        <v>333.49200000000002</v>
      </c>
      <c r="C113" s="1">
        <v>45597</v>
      </c>
      <c r="D113">
        <v>131.81399999999999</v>
      </c>
      <c r="E113" s="1">
        <v>45597</v>
      </c>
      <c r="F113">
        <v>122.563</v>
      </c>
      <c r="G113">
        <f t="shared" si="2"/>
        <v>587.86900000000003</v>
      </c>
      <c r="H113">
        <f t="shared" si="3"/>
        <v>195.95633333333333</v>
      </c>
    </row>
    <row r="114" spans="1:8" x14ac:dyDescent="0.3">
      <c r="A114" s="1">
        <v>45627</v>
      </c>
      <c r="B114">
        <v>334.45600000000002</v>
      </c>
      <c r="C114" s="1">
        <v>45627</v>
      </c>
      <c r="D114">
        <v>131.98599999999999</v>
      </c>
      <c r="E114" s="1">
        <v>45627</v>
      </c>
      <c r="F114">
        <v>122.39400000000001</v>
      </c>
      <c r="G114">
        <f t="shared" si="2"/>
        <v>588.83600000000001</v>
      </c>
      <c r="H114">
        <f t="shared" si="3"/>
        <v>196.27866666666668</v>
      </c>
    </row>
    <row r="115" spans="1:8" x14ac:dyDescent="0.3">
      <c r="A115" s="1">
        <v>45658</v>
      </c>
      <c r="B115">
        <v>335.67099999999999</v>
      </c>
      <c r="C115" s="1">
        <v>45658</v>
      </c>
      <c r="D115">
        <v>130.16</v>
      </c>
      <c r="E115" s="1">
        <v>45658</v>
      </c>
      <c r="F115">
        <v>122.852</v>
      </c>
      <c r="G115">
        <f t="shared" si="2"/>
        <v>588.68299999999999</v>
      </c>
      <c r="H115">
        <f t="shared" si="3"/>
        <v>196.22766666666666</v>
      </c>
    </row>
    <row r="116" spans="1:8" x14ac:dyDescent="0.3">
      <c r="A116" s="1">
        <v>45689</v>
      </c>
      <c r="B116">
        <v>336.22300000000001</v>
      </c>
      <c r="C116" s="1">
        <v>45689</v>
      </c>
      <c r="D116">
        <v>130.935</v>
      </c>
      <c r="E116" s="1">
        <v>45689</v>
      </c>
      <c r="F116">
        <v>122.79</v>
      </c>
      <c r="G116">
        <f t="shared" si="2"/>
        <v>589.94799999999998</v>
      </c>
      <c r="H116">
        <f t="shared" si="3"/>
        <v>196.64933333333332</v>
      </c>
    </row>
    <row r="117" spans="1:8" x14ac:dyDescent="0.3">
      <c r="A117" s="1">
        <v>45717</v>
      </c>
      <c r="B117">
        <v>337.68599999999998</v>
      </c>
      <c r="C117" s="1">
        <v>45717</v>
      </c>
      <c r="D117">
        <v>131.41499999999999</v>
      </c>
      <c r="E117" s="1">
        <v>45717</v>
      </c>
      <c r="F117">
        <v>122.77200000000001</v>
      </c>
      <c r="G117">
        <f t="shared" si="2"/>
        <v>591.87300000000005</v>
      </c>
      <c r="H117">
        <f t="shared" si="3"/>
        <v>197.29100000000003</v>
      </c>
    </row>
    <row r="118" spans="1:8" x14ac:dyDescent="0.3">
      <c r="A118" s="1">
        <v>45748</v>
      </c>
      <c r="B118">
        <v>337.42399999999998</v>
      </c>
      <c r="C118" s="1">
        <v>45748</v>
      </c>
      <c r="D118">
        <v>131.15600000000001</v>
      </c>
      <c r="E118" s="1">
        <v>45748</v>
      </c>
      <c r="F118">
        <v>122.96899999999999</v>
      </c>
      <c r="G118">
        <f t="shared" si="2"/>
        <v>591.54899999999998</v>
      </c>
      <c r="H118">
        <f t="shared" si="3"/>
        <v>197.18299999999999</v>
      </c>
    </row>
    <row r="119" spans="1:8" x14ac:dyDescent="0.3">
      <c r="A119" s="1">
        <v>45778</v>
      </c>
      <c r="B119">
        <v>338.38600000000002</v>
      </c>
      <c r="C119" s="1">
        <v>45778</v>
      </c>
      <c r="D119">
        <v>130.59899999999999</v>
      </c>
      <c r="E119" s="1">
        <v>45778</v>
      </c>
      <c r="F119">
        <v>122.836</v>
      </c>
      <c r="G119">
        <f t="shared" si="2"/>
        <v>591.82100000000003</v>
      </c>
      <c r="H119">
        <f t="shared" si="3"/>
        <v>197.27366666666668</v>
      </c>
    </row>
    <row r="120" spans="1:8" x14ac:dyDescent="0.3">
      <c r="A120" s="1">
        <v>45809</v>
      </c>
      <c r="B120">
        <v>339.49799999999999</v>
      </c>
      <c r="C120" s="1">
        <v>45809</v>
      </c>
      <c r="D120">
        <v>131.161</v>
      </c>
      <c r="E120" s="1">
        <v>45809</v>
      </c>
      <c r="F120">
        <v>122.95</v>
      </c>
      <c r="G120">
        <f t="shared" si="2"/>
        <v>593.60900000000004</v>
      </c>
      <c r="H120">
        <f t="shared" si="3"/>
        <v>197.86966666666669</v>
      </c>
    </row>
    <row r="121" spans="1:8" x14ac:dyDescent="0.3">
      <c r="A121" s="1">
        <v>45839</v>
      </c>
      <c r="B121">
        <v>339.65199999999999</v>
      </c>
      <c r="C121" s="1">
        <v>45839</v>
      </c>
      <c r="D121">
        <v>131.25299999999999</v>
      </c>
      <c r="E121" s="1">
        <v>45839</v>
      </c>
      <c r="F121">
        <v>123.39700000000001</v>
      </c>
      <c r="G121">
        <f t="shared" si="2"/>
        <v>594.30200000000002</v>
      </c>
      <c r="H121">
        <f t="shared" si="3"/>
        <v>198.10066666666668</v>
      </c>
    </row>
    <row r="122" spans="1:8" x14ac:dyDescent="0.3">
      <c r="A122" s="1">
        <v>45870</v>
      </c>
      <c r="B122">
        <v>341.20800000000003</v>
      </c>
      <c r="C122" s="1">
        <v>45870</v>
      </c>
      <c r="D122">
        <v>131.91200000000001</v>
      </c>
      <c r="E122" s="1">
        <v>45870</v>
      </c>
      <c r="F122">
        <v>123.914</v>
      </c>
      <c r="G122">
        <f t="shared" si="2"/>
        <v>597.03399999999999</v>
      </c>
      <c r="H122">
        <f t="shared" si="3"/>
        <v>199.01133333333334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Qureshi</dc:creator>
  <cp:lastModifiedBy>Yousuf Qureshi</cp:lastModifiedBy>
  <dcterms:created xsi:type="dcterms:W3CDTF">2025-11-20T20:09:05Z</dcterms:created>
  <dcterms:modified xsi:type="dcterms:W3CDTF">2025-11-20T20:14:28Z</dcterms:modified>
</cp:coreProperties>
</file>